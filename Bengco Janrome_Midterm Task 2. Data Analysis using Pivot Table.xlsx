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u\Downloads\"/>
    </mc:Choice>
  </mc:AlternateContent>
  <xr:revisionPtr revIDLastSave="0" documentId="8_{880EB382-011C-404A-A4AE-87890E85BB9F}" xr6:coauthVersionLast="43" xr6:coauthVersionMax="43" xr10:uidLastSave="{00000000-0000-0000-0000-000000000000}"/>
  <bookViews>
    <workbookView xWindow="-120" yWindow="-120" windowWidth="20730" windowHeight="11160" activeTab="1" xr2:uid="{00000000-000D-0000-FFFF-FFFF00000000}"/>
  </bookViews>
  <sheets>
    <sheet name="Challenge_Act" sheetId="4" r:id="rId1"/>
    <sheet name="Data_Analysis" sheetId="2" r:id="rId2"/>
    <sheet name="Bike Sales" sheetId="1" r:id="rId3"/>
  </sheets>
  <calcPr calcId="191028"/>
  <pivotCaches>
    <pivotCache cacheId="3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<sst xmlns="http://schemas.openxmlformats.org/spreadsheetml/2006/main" count="878" uniqueCount="163">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</sst>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[Evaristo,Pauline_Midterm Task 2. Data Analysis using Pivot Table.xlsx]Challenge_Act!PivotTable2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Challenge_Act!$B$3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Challenge_Act!$A$4:$A$46</c:f>
              <c:multiLvlStrCache>
                <c:ptCount val="24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  <c:pt idx="12">
                    <c:v>F</c:v>
                  </c:pt>
                  <c:pt idx="13">
                    <c:v>M</c:v>
                  </c:pt>
                  <c:pt idx="14">
                    <c:v>F</c:v>
                  </c:pt>
                  <c:pt idx="15">
                    <c:v>M</c:v>
                  </c:pt>
                  <c:pt idx="16">
                    <c:v>F</c:v>
                  </c:pt>
                  <c:pt idx="17">
                    <c:v>M</c:v>
                  </c:pt>
                  <c:pt idx="18">
                    <c:v>F</c:v>
                  </c:pt>
                  <c:pt idx="19">
                    <c:v>M</c:v>
                  </c:pt>
                  <c:pt idx="20">
                    <c:v>F</c:v>
                  </c:pt>
                  <c:pt idx="21">
                    <c:v>M</c:v>
                  </c:pt>
                  <c:pt idx="22">
                    <c:v>F</c:v>
                  </c:pt>
                  <c:pt idx="23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Adults (35-64)</c:v>
                  </c:pt>
                  <c:pt idx="6">
                    <c:v>Young Adults (25-34)</c:v>
                  </c:pt>
                  <c:pt idx="8">
                    <c:v>Youth (&lt;25)</c:v>
                  </c:pt>
                  <c:pt idx="10">
                    <c:v>Young Adults (25-34)</c:v>
                  </c:pt>
                  <c:pt idx="12">
                    <c:v>Youth (&lt;25)</c:v>
                  </c:pt>
                  <c:pt idx="14">
                    <c:v>Adults (35-64)</c:v>
                  </c:pt>
                  <c:pt idx="16">
                    <c:v>Young Adults (25-34)</c:v>
                  </c:pt>
                  <c:pt idx="18">
                    <c:v>Adults (35-64)</c:v>
                  </c:pt>
                  <c:pt idx="20">
                    <c:v>Young Adults (25-34)</c:v>
                  </c:pt>
                  <c:pt idx="22">
                    <c:v>Youth (&lt;25)</c:v>
                  </c:pt>
                </c:lvl>
                <c:lvl>
                  <c:pt idx="0">
                    <c:v>United States</c:v>
                  </c:pt>
                  <c:pt idx="4">
                    <c:v>Australia</c:v>
                  </c:pt>
                  <c:pt idx="10">
                    <c:v>France</c:v>
                  </c:pt>
                  <c:pt idx="14">
                    <c:v>Germany</c:v>
                  </c:pt>
                  <c:pt idx="16">
                    <c:v>Canada</c:v>
                  </c:pt>
                  <c:pt idx="18">
                    <c:v>United Kingdom</c:v>
                  </c:pt>
                </c:lvl>
              </c:multiLvlStrCache>
            </c:multiLvlStrRef>
          </c:cat>
          <c:val>
            <c:numRef>
              <c:f>Challenge_Act!$B$4:$B$46</c:f>
              <c:numCache>
                <c:formatCode>General</c:formatCode>
                <c:ptCount val="24"/>
                <c:pt idx="0">
                  <c:v>27570</c:v>
                </c:pt>
                <c:pt idx="1">
                  <c:v>16035</c:v>
                </c:pt>
                <c:pt idx="2">
                  <c:v>10952</c:v>
                </c:pt>
                <c:pt idx="3">
                  <c:v>2684</c:v>
                </c:pt>
                <c:pt idx="4">
                  <c:v>13276</c:v>
                </c:pt>
                <c:pt idx="5">
                  <c:v>15656</c:v>
                </c:pt>
                <c:pt idx="6">
                  <c:v>16204</c:v>
                </c:pt>
                <c:pt idx="7">
                  <c:v>2435</c:v>
                </c:pt>
                <c:pt idx="8">
                  <c:v>2265</c:v>
                </c:pt>
                <c:pt idx="9">
                  <c:v>490</c:v>
                </c:pt>
                <c:pt idx="10">
                  <c:v>1054</c:v>
                </c:pt>
                <c:pt idx="11">
                  <c:v>9420</c:v>
                </c:pt>
                <c:pt idx="12">
                  <c:v>6291</c:v>
                </c:pt>
                <c:pt idx="13">
                  <c:v>4216</c:v>
                </c:pt>
                <c:pt idx="14">
                  <c:v>8410</c:v>
                </c:pt>
                <c:pt idx="15">
                  <c:v>5226</c:v>
                </c:pt>
                <c:pt idx="16">
                  <c:v>6302</c:v>
                </c:pt>
                <c:pt idx="17">
                  <c:v>2821</c:v>
                </c:pt>
                <c:pt idx="18">
                  <c:v>1043</c:v>
                </c:pt>
                <c:pt idx="19">
                  <c:v>3151</c:v>
                </c:pt>
                <c:pt idx="20">
                  <c:v>1047</c:v>
                </c:pt>
                <c:pt idx="21">
                  <c:v>1043</c:v>
                </c:pt>
                <c:pt idx="22">
                  <c:v>1043</c:v>
                </c:pt>
                <c:pt idx="23">
                  <c:v>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F-4F4B-9FC0-EC50CB011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9060400"/>
        <c:axId val="1887995808"/>
      </c:barChart>
      <c:catAx>
        <c:axId val="187906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995808"/>
        <c:crosses val="autoZero"/>
        <c:auto val="1"/>
        <c:lblAlgn val="ctr"/>
        <c:lblOffset val="100"/>
        <c:noMultiLvlLbl val="0"/>
      </c:catAx>
      <c:valAx>
        <c:axId val="18879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06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[Evaristo,Pauline_Midterm Task 2. Data Analysis using Pivot Table.xlsx]Data_Analysis!PivotTable1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Data_Analysis!$B$3:$B$4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1-491E-B380-C9F0A11F42DF}"/>
            </c:ext>
          </c:extLst>
        </c:ser>
        <c:ser>
          <c:idx val="1"/>
          <c:order val="1"/>
          <c:tx>
            <c:strRef>
              <c:f>Data_Analysis!$C$3:$C$4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1-491E-B380-C9F0A11F42DF}"/>
            </c:ext>
          </c:extLst>
        </c:ser>
        <c:ser>
          <c:idx val="2"/>
          <c:order val="2"/>
          <c:tx>
            <c:strRef>
              <c:f>Data_Analysis!$D$3:$D$4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1-491E-B380-C9F0A11F42DF}"/>
            </c:ext>
          </c:extLst>
        </c:ser>
        <c:ser>
          <c:idx val="3"/>
          <c:order val="3"/>
          <c:tx>
            <c:strRef>
              <c:f>Data_Analysis!$E$3:$E$4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E1-491E-B380-C9F0A11F42DF}"/>
            </c:ext>
          </c:extLst>
        </c:ser>
        <c:ser>
          <c:idx val="4"/>
          <c:order val="4"/>
          <c:tx>
            <c:strRef>
              <c:f>Data_Analysis!$F$3:$F$4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E1-491E-B380-C9F0A11F42DF}"/>
            </c:ext>
          </c:extLst>
        </c:ser>
        <c:ser>
          <c:idx val="5"/>
          <c:order val="5"/>
          <c:tx>
            <c:strRef>
              <c:f>Data_Analysis!$G$3:$G$4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BE1-491E-B380-C9F0A11F42DF}"/>
            </c:ext>
          </c:extLst>
        </c:ser>
        <c:ser>
          <c:idx val="6"/>
          <c:order val="6"/>
          <c:tx>
            <c:strRef>
              <c:f>Data_Analysis!$H$3:$H$4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E1-491E-B380-C9F0A11F42DF}"/>
            </c:ext>
          </c:extLst>
        </c:ser>
        <c:ser>
          <c:idx val="7"/>
          <c:order val="7"/>
          <c:tx>
            <c:strRef>
              <c:f>Data_Analysis!$I$3:$I$4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Data_Analysis!$A$5:$A$14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Data_Analysis!$I$5:$I$14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E1-491E-B380-C9F0A11F42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71671744"/>
        <c:axId val="1568467232"/>
      </c:barChart>
      <c:catAx>
        <c:axId val="157167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467232"/>
        <c:crosses val="autoZero"/>
        <c:auto val="1"/>
        <c:lblAlgn val="ctr"/>
        <c:lblOffset val="100"/>
        <c:noMultiLvlLbl val="0"/>
      </c:catAx>
      <c:valAx>
        <c:axId val="156846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7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666749</xdr:colOff>
      <xdr:row>1</xdr:row>
      <xdr:rowOff>119061</xdr:rowOff>
    </xdr:from>
    <xdr:to>
      <xdr:col>15</xdr:col>
      <xdr:colOff>257174</xdr:colOff>
      <xdr:row>27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50FACA-2E07-4C39-8E16-97155E4F1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14</xdr:row>
      <xdr:rowOff>157161</xdr:rowOff>
    </xdr:from>
    <xdr:to>
      <xdr:col>8</xdr:col>
      <xdr:colOff>714375</xdr:colOff>
      <xdr:row>34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2A7E3C-6F6F-40EA-AF8A-A9F4AEC2D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" refreshedDate="46086.175374768522" createdVersion="6" refreshedVersion="6" minRefreshableVersion="3" recordCount="88" xr:uid="{666F2331-C1E4-4C4C-B8B0-547A608F93A2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 count="21">
        <n v="4172"/>
        <n v="1054"/>
        <n v="698"/>
        <n v="349"/>
        <n v="2086"/>
        <n v="1043"/>
        <n v="1396"/>
        <n v="1047"/>
        <n v="2108"/>
        <n v="1028"/>
        <n v="4216"/>
        <n v="245"/>
        <n v="2954"/>
        <n v="1488"/>
        <n v="3129"/>
        <n v="3162"/>
        <n v="257"/>
        <n v="980"/>
        <n v="5908"/>
        <n v="490"/>
        <n v="735"/>
      </sharedItems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x v="1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x v="2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x v="3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x v="4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x v="5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x v="5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x v="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x v="0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x v="5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x v="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x v="5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x v="1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x v="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x v="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x v="9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x v="10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x v="4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x v="12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x v="1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x v="4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x v="4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x v="5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x v="11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x v="13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x v="5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x v="14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x v="2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x v="5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x v="3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x v="1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x v="10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x v="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x v="4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x v="1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x v="1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x v="15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x v="16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x v="5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x v="5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x v="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x v="5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x v="3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x v="1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x v="4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x v="4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x v="1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x v="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x v="3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x v="1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x v="9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x v="10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x v="15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x v="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x v="5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x v="1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x v="10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x v="17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x v="0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x v="1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x v="0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x v="0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x v="0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x v="19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x v="4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x v="1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x v="1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x v="0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x v="20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x v="1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x v="1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x v="15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x v="2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x v="15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x v="14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x v="16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x v="5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x v="5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x v="1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x v="1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x v="5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x v="11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x v="0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4FFEC-EEAD-4D9E-8EAA-5482DDCD9D7A}" name="PivotTable2" cacheId="3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46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 sortType="descending">
      <items count="9">
        <item x="2"/>
        <item x="6"/>
        <item x="7"/>
        <item x="5"/>
        <item h="1" sd="0" x="3"/>
        <item x="1"/>
        <item x="0"/>
        <item h="1"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>
      <items count="22">
        <item x="11"/>
        <item x="16"/>
        <item x="3"/>
        <item x="19"/>
        <item x="2"/>
        <item x="20"/>
        <item x="17"/>
        <item x="9"/>
        <item x="5"/>
        <item x="7"/>
        <item x="1"/>
        <item x="6"/>
        <item x="13"/>
        <item x="4"/>
        <item x="8"/>
        <item x="12"/>
        <item x="14"/>
        <item x="15"/>
        <item x="0"/>
        <item x="10"/>
        <item x="18"/>
        <item t="default"/>
      </items>
    </pivotField>
    <pivotField numFmtId="164" showAll="0"/>
    <pivotField numFmtId="164" showAll="0"/>
  </pivotFields>
  <rowFields count="3">
    <field x="8"/>
    <field x="6"/>
    <field x="7"/>
  </rowFields>
  <rowItems count="43">
    <i>
      <x v="6"/>
    </i>
    <i r="1">
      <x/>
    </i>
    <i r="2">
      <x/>
    </i>
    <i r="2">
      <x v="1"/>
    </i>
    <i r="1">
      <x v="1"/>
    </i>
    <i r="2">
      <x/>
    </i>
    <i r="2">
      <x v="1"/>
    </i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 v="1"/>
    </i>
    <i r="2">
      <x/>
    </i>
    <i r="2">
      <x v="1"/>
    </i>
    <i r="1">
      <x v="2"/>
    </i>
    <i r="2">
      <x/>
    </i>
    <i r="2">
      <x v="1"/>
    </i>
    <i>
      <x v="3"/>
    </i>
    <i r="1">
      <x/>
    </i>
    <i r="2">
      <x/>
    </i>
    <i r="2">
      <x v="1"/>
    </i>
    <i>
      <x v="1"/>
    </i>
    <i r="1">
      <x v="1"/>
    </i>
    <i r="2">
      <x/>
    </i>
    <i r="2">
      <x v="1"/>
    </i>
    <i>
      <x v="5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dataFields count="1">
    <dataField name="Sum of  Profit " fld="16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51432-C643-427B-9A45-91C4CD0CDBD4}" name="PivotTable1" cacheId="32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4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 sortType="ascending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formats count="1">
    <format dxfId="5">
      <pivotArea outline="0" collapsedLevelsAreSubtotals="1" fieldPosition="0"/>
    </format>
  </format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331A-44C2-414E-BA5A-F67239224653}">
  <dimension ref="A3:B46"/>
  <sheetViews>
    <sheetView workbookViewId="0">
      <selection activeCell="Q8" sqref="Q8"/>
    </sheetView>
  </sheetViews>
  <sheetFormatPr defaultRowHeight="15" x14ac:dyDescent="0.25"/>
  <cols>
    <col min="1" max="1" width="23.28515625" bestFit="1" customWidth="1"/>
    <col min="2" max="3" width="13.5703125" bestFit="1" customWidth="1"/>
    <col min="4" max="8" width="8.28515625" bestFit="1" customWidth="1"/>
    <col min="9" max="22" width="9.85546875" bestFit="1" customWidth="1"/>
    <col min="23" max="23" width="11.28515625" bestFit="1" customWidth="1"/>
  </cols>
  <sheetData>
    <row r="3" spans="1:2" x14ac:dyDescent="0.25">
      <c r="A3" s="9" t="s">
        <v>158</v>
      </c>
      <c r="B3" t="s">
        <v>162</v>
      </c>
    </row>
    <row r="4" spans="1:2" x14ac:dyDescent="0.25">
      <c r="A4" s="8" t="s">
        <v>23</v>
      </c>
      <c r="B4" s="11">
        <v>57241</v>
      </c>
    </row>
    <row r="5" spans="1:2" x14ac:dyDescent="0.25">
      <c r="A5" s="10" t="s">
        <v>21</v>
      </c>
      <c r="B5" s="11">
        <v>43605</v>
      </c>
    </row>
    <row r="6" spans="1:2" x14ac:dyDescent="0.25">
      <c r="A6" s="13" t="s">
        <v>22</v>
      </c>
      <c r="B6" s="11">
        <v>27570</v>
      </c>
    </row>
    <row r="7" spans="1:2" x14ac:dyDescent="0.25">
      <c r="A7" s="13" t="s">
        <v>28</v>
      </c>
      <c r="B7" s="11">
        <v>16035</v>
      </c>
    </row>
    <row r="8" spans="1:2" x14ac:dyDescent="0.25">
      <c r="A8" s="10" t="s">
        <v>35</v>
      </c>
      <c r="B8" s="11">
        <v>13636</v>
      </c>
    </row>
    <row r="9" spans="1:2" x14ac:dyDescent="0.25">
      <c r="A9" s="13" t="s">
        <v>22</v>
      </c>
      <c r="B9" s="11">
        <v>10952</v>
      </c>
    </row>
    <row r="10" spans="1:2" x14ac:dyDescent="0.25">
      <c r="A10" s="13" t="s">
        <v>28</v>
      </c>
      <c r="B10" s="11">
        <v>2684</v>
      </c>
    </row>
    <row r="11" spans="1:2" x14ac:dyDescent="0.25">
      <c r="A11" s="8" t="s">
        <v>36</v>
      </c>
      <c r="B11" s="11">
        <v>50326</v>
      </c>
    </row>
    <row r="12" spans="1:2" x14ac:dyDescent="0.25">
      <c r="A12" s="10" t="s">
        <v>21</v>
      </c>
      <c r="B12" s="11">
        <v>28932</v>
      </c>
    </row>
    <row r="13" spans="1:2" x14ac:dyDescent="0.25">
      <c r="A13" s="13" t="s">
        <v>22</v>
      </c>
      <c r="B13" s="11">
        <v>13276</v>
      </c>
    </row>
    <row r="14" spans="1:2" x14ac:dyDescent="0.25">
      <c r="A14" s="13" t="s">
        <v>28</v>
      </c>
      <c r="B14" s="11">
        <v>15656</v>
      </c>
    </row>
    <row r="15" spans="1:2" x14ac:dyDescent="0.25">
      <c r="A15" s="10" t="s">
        <v>35</v>
      </c>
      <c r="B15" s="11">
        <v>18639</v>
      </c>
    </row>
    <row r="16" spans="1:2" x14ac:dyDescent="0.25">
      <c r="A16" s="13" t="s">
        <v>22</v>
      </c>
      <c r="B16" s="11">
        <v>16204</v>
      </c>
    </row>
    <row r="17" spans="1:2" x14ac:dyDescent="0.25">
      <c r="A17" s="13" t="s">
        <v>28</v>
      </c>
      <c r="B17" s="11">
        <v>2435</v>
      </c>
    </row>
    <row r="18" spans="1:2" x14ac:dyDescent="0.25">
      <c r="A18" s="10" t="s">
        <v>42</v>
      </c>
      <c r="B18" s="11">
        <v>2755</v>
      </c>
    </row>
    <row r="19" spans="1:2" x14ac:dyDescent="0.25">
      <c r="A19" s="13" t="s">
        <v>22</v>
      </c>
      <c r="B19" s="11">
        <v>2265</v>
      </c>
    </row>
    <row r="20" spans="1:2" x14ac:dyDescent="0.25">
      <c r="A20" s="13" t="s">
        <v>28</v>
      </c>
      <c r="B20" s="11">
        <v>490</v>
      </c>
    </row>
    <row r="21" spans="1:2" x14ac:dyDescent="0.25">
      <c r="A21" s="8" t="s">
        <v>87</v>
      </c>
      <c r="B21" s="11">
        <v>20981</v>
      </c>
    </row>
    <row r="22" spans="1:2" x14ac:dyDescent="0.25">
      <c r="A22" s="10" t="s">
        <v>35</v>
      </c>
      <c r="B22" s="11">
        <v>10474</v>
      </c>
    </row>
    <row r="23" spans="1:2" x14ac:dyDescent="0.25">
      <c r="A23" s="13" t="s">
        <v>22</v>
      </c>
      <c r="B23" s="11">
        <v>1054</v>
      </c>
    </row>
    <row r="24" spans="1:2" x14ac:dyDescent="0.25">
      <c r="A24" s="13" t="s">
        <v>28</v>
      </c>
      <c r="B24" s="11">
        <v>9420</v>
      </c>
    </row>
    <row r="25" spans="1:2" x14ac:dyDescent="0.25">
      <c r="A25" s="10" t="s">
        <v>42</v>
      </c>
      <c r="B25" s="11">
        <v>10507</v>
      </c>
    </row>
    <row r="26" spans="1:2" x14ac:dyDescent="0.25">
      <c r="A26" s="13" t="s">
        <v>22</v>
      </c>
      <c r="B26" s="11">
        <v>6291</v>
      </c>
    </row>
    <row r="27" spans="1:2" x14ac:dyDescent="0.25">
      <c r="A27" s="13" t="s">
        <v>28</v>
      </c>
      <c r="B27" s="11">
        <v>4216</v>
      </c>
    </row>
    <row r="28" spans="1:2" x14ac:dyDescent="0.25">
      <c r="A28" s="8" t="s">
        <v>50</v>
      </c>
      <c r="B28" s="11">
        <v>13636</v>
      </c>
    </row>
    <row r="29" spans="1:2" x14ac:dyDescent="0.25">
      <c r="A29" s="10" t="s">
        <v>21</v>
      </c>
      <c r="B29" s="11">
        <v>13636</v>
      </c>
    </row>
    <row r="30" spans="1:2" x14ac:dyDescent="0.25">
      <c r="A30" s="13" t="s">
        <v>22</v>
      </c>
      <c r="B30" s="11">
        <v>8410</v>
      </c>
    </row>
    <row r="31" spans="1:2" x14ac:dyDescent="0.25">
      <c r="A31" s="13" t="s">
        <v>28</v>
      </c>
      <c r="B31" s="11">
        <v>5226</v>
      </c>
    </row>
    <row r="32" spans="1:2" x14ac:dyDescent="0.25">
      <c r="A32" s="8" t="s">
        <v>58</v>
      </c>
      <c r="B32" s="11">
        <v>9123</v>
      </c>
    </row>
    <row r="33" spans="1:2" x14ac:dyDescent="0.25">
      <c r="A33" s="10" t="s">
        <v>35</v>
      </c>
      <c r="B33" s="11">
        <v>9123</v>
      </c>
    </row>
    <row r="34" spans="1:2" x14ac:dyDescent="0.25">
      <c r="A34" s="13" t="s">
        <v>22</v>
      </c>
      <c r="B34" s="11">
        <v>6302</v>
      </c>
    </row>
    <row r="35" spans="1:2" x14ac:dyDescent="0.25">
      <c r="A35" s="13" t="s">
        <v>28</v>
      </c>
      <c r="B35" s="11">
        <v>2821</v>
      </c>
    </row>
    <row r="36" spans="1:2" x14ac:dyDescent="0.25">
      <c r="A36" s="8" t="s">
        <v>29</v>
      </c>
      <c r="B36" s="11">
        <v>9072</v>
      </c>
    </row>
    <row r="37" spans="1:2" x14ac:dyDescent="0.25">
      <c r="A37" s="10" t="s">
        <v>21</v>
      </c>
      <c r="B37" s="11">
        <v>4194</v>
      </c>
    </row>
    <row r="38" spans="1:2" x14ac:dyDescent="0.25">
      <c r="A38" s="13" t="s">
        <v>22</v>
      </c>
      <c r="B38" s="11">
        <v>1043</v>
      </c>
    </row>
    <row r="39" spans="1:2" x14ac:dyDescent="0.25">
      <c r="A39" s="13" t="s">
        <v>28</v>
      </c>
      <c r="B39" s="11">
        <v>3151</v>
      </c>
    </row>
    <row r="40" spans="1:2" x14ac:dyDescent="0.25">
      <c r="A40" s="10" t="s">
        <v>35</v>
      </c>
      <c r="B40" s="11">
        <v>2090</v>
      </c>
    </row>
    <row r="41" spans="1:2" x14ac:dyDescent="0.25">
      <c r="A41" s="13" t="s">
        <v>22</v>
      </c>
      <c r="B41" s="11">
        <v>1047</v>
      </c>
    </row>
    <row r="42" spans="1:2" x14ac:dyDescent="0.25">
      <c r="A42" s="13" t="s">
        <v>28</v>
      </c>
      <c r="B42" s="11">
        <v>1043</v>
      </c>
    </row>
    <row r="43" spans="1:2" x14ac:dyDescent="0.25">
      <c r="A43" s="10" t="s">
        <v>42</v>
      </c>
      <c r="B43" s="11">
        <v>2788</v>
      </c>
    </row>
    <row r="44" spans="1:2" x14ac:dyDescent="0.25">
      <c r="A44" s="13" t="s">
        <v>22</v>
      </c>
      <c r="B44" s="11">
        <v>1043</v>
      </c>
    </row>
    <row r="45" spans="1:2" x14ac:dyDescent="0.25">
      <c r="A45" s="13" t="s">
        <v>28</v>
      </c>
      <c r="B45" s="11">
        <v>1745</v>
      </c>
    </row>
    <row r="46" spans="1:2" x14ac:dyDescent="0.25">
      <c r="A46" s="8" t="s">
        <v>159</v>
      </c>
      <c r="B46" s="11">
        <v>160379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EA94-929D-456F-AE36-1C4EEA3E5D20}">
  <dimension ref="A3:J14"/>
  <sheetViews>
    <sheetView tabSelected="1" topLeftCell="A2" workbookViewId="0">
      <selection activeCell="K24" sqref="K24"/>
    </sheetView>
  </sheetViews>
  <sheetFormatPr defaultRowHeight="15" x14ac:dyDescent="0.25"/>
  <cols>
    <col min="1" max="1" width="21.85546875" bestFit="1" customWidth="1"/>
    <col min="2" max="2" width="16.28515625" bestFit="1" customWidth="1"/>
    <col min="3" max="3" width="7.42578125" bestFit="1" customWidth="1"/>
    <col min="4" max="4" width="6.85546875" bestFit="1" customWidth="1"/>
    <col min="5" max="5" width="9.140625" bestFit="1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20.5703125" bestFit="1" customWidth="1"/>
    <col min="14" max="14" width="15" bestFit="1" customWidth="1"/>
    <col min="15" max="15" width="18.140625" bestFit="1" customWidth="1"/>
    <col min="16" max="16" width="15.42578125" bestFit="1" customWidth="1"/>
    <col min="17" max="17" width="18.5703125" bestFit="1" customWidth="1"/>
    <col min="18" max="18" width="11.28515625" bestFit="1" customWidth="1"/>
  </cols>
  <sheetData>
    <row r="3" spans="1:10" x14ac:dyDescent="0.25">
      <c r="A3" s="9" t="s">
        <v>160</v>
      </c>
      <c r="B3" s="9" t="s">
        <v>161</v>
      </c>
    </row>
    <row r="4" spans="1:10" x14ac:dyDescent="0.25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2">
        <v>11</v>
      </c>
      <c r="C5" s="12">
        <v>0</v>
      </c>
      <c r="D5" s="12">
        <v>10</v>
      </c>
      <c r="E5" s="12">
        <v>0</v>
      </c>
      <c r="F5" s="12">
        <v>0</v>
      </c>
      <c r="G5" s="12">
        <v>6</v>
      </c>
      <c r="H5" s="12">
        <v>0</v>
      </c>
      <c r="I5" s="12">
        <v>0</v>
      </c>
      <c r="J5" s="12">
        <v>27</v>
      </c>
    </row>
    <row r="6" spans="1:10" x14ac:dyDescent="0.25">
      <c r="A6" s="10" t="s">
        <v>22</v>
      </c>
      <c r="B6" s="12">
        <v>9</v>
      </c>
      <c r="C6" s="12">
        <v>0</v>
      </c>
      <c r="D6" s="12">
        <v>6</v>
      </c>
      <c r="E6" s="12">
        <v>0</v>
      </c>
      <c r="F6" s="12">
        <v>0</v>
      </c>
      <c r="G6" s="12">
        <v>1</v>
      </c>
      <c r="H6" s="12">
        <v>0</v>
      </c>
      <c r="I6" s="12">
        <v>0</v>
      </c>
      <c r="J6" s="12">
        <v>16</v>
      </c>
    </row>
    <row r="7" spans="1:10" x14ac:dyDescent="0.25">
      <c r="A7" s="10" t="s">
        <v>28</v>
      </c>
      <c r="B7" s="12">
        <v>2</v>
      </c>
      <c r="C7" s="12">
        <v>0</v>
      </c>
      <c r="D7" s="12">
        <v>4</v>
      </c>
      <c r="E7" s="12">
        <v>0</v>
      </c>
      <c r="F7" s="12">
        <v>0</v>
      </c>
      <c r="G7" s="12">
        <v>5</v>
      </c>
      <c r="H7" s="12">
        <v>0</v>
      </c>
      <c r="I7" s="12">
        <v>0</v>
      </c>
      <c r="J7" s="12">
        <v>11</v>
      </c>
    </row>
    <row r="8" spans="1:10" x14ac:dyDescent="0.25">
      <c r="A8" s="8" t="s">
        <v>35</v>
      </c>
      <c r="B8" s="12">
        <v>20</v>
      </c>
      <c r="C8" s="12">
        <v>11</v>
      </c>
      <c r="D8" s="12">
        <v>10</v>
      </c>
      <c r="E8" s="12">
        <v>0</v>
      </c>
      <c r="F8" s="12">
        <v>0</v>
      </c>
      <c r="G8" s="12">
        <v>4</v>
      </c>
      <c r="H8" s="12">
        <v>16</v>
      </c>
      <c r="I8" s="12">
        <v>0</v>
      </c>
      <c r="J8" s="12">
        <v>61</v>
      </c>
    </row>
    <row r="9" spans="1:10" x14ac:dyDescent="0.25">
      <c r="A9" s="10" t="s">
        <v>22</v>
      </c>
      <c r="B9" s="12">
        <v>17</v>
      </c>
      <c r="C9" s="12">
        <v>6</v>
      </c>
      <c r="D9" s="12">
        <v>1</v>
      </c>
      <c r="E9" s="12">
        <v>0</v>
      </c>
      <c r="F9" s="12">
        <v>0</v>
      </c>
      <c r="G9" s="12">
        <v>3</v>
      </c>
      <c r="H9" s="12">
        <v>10</v>
      </c>
      <c r="I9" s="12">
        <v>0</v>
      </c>
      <c r="J9" s="12">
        <v>37</v>
      </c>
    </row>
    <row r="10" spans="1:10" x14ac:dyDescent="0.25">
      <c r="A10" s="10" t="s">
        <v>28</v>
      </c>
      <c r="B10" s="12">
        <v>3</v>
      </c>
      <c r="C10" s="12">
        <v>5</v>
      </c>
      <c r="D10" s="12">
        <v>9</v>
      </c>
      <c r="E10" s="12">
        <v>0</v>
      </c>
      <c r="F10" s="12">
        <v>0</v>
      </c>
      <c r="G10" s="12">
        <v>1</v>
      </c>
      <c r="H10" s="12">
        <v>6</v>
      </c>
      <c r="I10" s="12">
        <v>0</v>
      </c>
      <c r="J10" s="12">
        <v>24</v>
      </c>
    </row>
    <row r="11" spans="1:10" x14ac:dyDescent="0.25">
      <c r="A11" s="8" t="s">
        <v>21</v>
      </c>
      <c r="B11" s="12">
        <v>32</v>
      </c>
      <c r="C11" s="12">
        <v>0</v>
      </c>
      <c r="D11" s="12">
        <v>0</v>
      </c>
      <c r="E11" s="12">
        <v>13</v>
      </c>
      <c r="F11" s="12">
        <v>2</v>
      </c>
      <c r="G11" s="12">
        <v>4</v>
      </c>
      <c r="H11" s="12">
        <v>47</v>
      </c>
      <c r="I11" s="12">
        <v>1</v>
      </c>
      <c r="J11" s="12">
        <v>99</v>
      </c>
    </row>
    <row r="12" spans="1:10" x14ac:dyDescent="0.25">
      <c r="A12" s="10" t="s">
        <v>22</v>
      </c>
      <c r="B12" s="12">
        <v>17</v>
      </c>
      <c r="C12" s="12">
        <v>0</v>
      </c>
      <c r="D12" s="12">
        <v>0</v>
      </c>
      <c r="E12" s="12">
        <v>8</v>
      </c>
      <c r="F12" s="12">
        <v>2</v>
      </c>
      <c r="G12" s="12">
        <v>1</v>
      </c>
      <c r="H12" s="12">
        <v>27</v>
      </c>
      <c r="I12" s="12">
        <v>0</v>
      </c>
      <c r="J12" s="12">
        <v>55</v>
      </c>
    </row>
    <row r="13" spans="1:10" x14ac:dyDescent="0.25">
      <c r="A13" s="10" t="s">
        <v>28</v>
      </c>
      <c r="B13" s="12">
        <v>15</v>
      </c>
      <c r="C13" s="12">
        <v>0</v>
      </c>
      <c r="D13" s="12">
        <v>0</v>
      </c>
      <c r="E13" s="12">
        <v>5</v>
      </c>
      <c r="F13" s="12">
        <v>0</v>
      </c>
      <c r="G13" s="12">
        <v>3</v>
      </c>
      <c r="H13" s="12">
        <v>20</v>
      </c>
      <c r="I13" s="12">
        <v>1</v>
      </c>
      <c r="J13" s="12">
        <v>44</v>
      </c>
    </row>
    <row r="14" spans="1:10" x14ac:dyDescent="0.25">
      <c r="A14" s="8" t="s">
        <v>159</v>
      </c>
      <c r="B14" s="12">
        <v>63</v>
      </c>
      <c r="C14" s="12">
        <v>11</v>
      </c>
      <c r="D14" s="12">
        <v>20</v>
      </c>
      <c r="E14" s="12">
        <v>13</v>
      </c>
      <c r="F14" s="12">
        <v>2</v>
      </c>
      <c r="G14" s="12">
        <v>14</v>
      </c>
      <c r="H14" s="12">
        <v>63</v>
      </c>
      <c r="I14" s="12">
        <v>1</v>
      </c>
      <c r="J14" s="12">
        <v>187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H13" sqref="H13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style="8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15" bestFit="1" customWidth="1"/>
    <col min="15" max="15" width="10.5703125" bestFit="1" customWidth="1"/>
    <col min="16" max="16" width="11.140625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f7ae401-bd17-41a5-97cb-ef653218410e"/>
    <ds:schemaRef ds:uri="6cf0ffbd-cd96-4ba4-bd4f-bd34e840984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Challenge_Act</vt:lpstr>
      <vt:lpstr>Data_Analysis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Pau</cp:lastModifiedBy>
  <cp:revision/>
  <dcterms:created xsi:type="dcterms:W3CDTF">2022-11-04T20:14:11Z</dcterms:created>
  <dcterms:modified xsi:type="dcterms:W3CDTF">2026-03-05T12:38:02Z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